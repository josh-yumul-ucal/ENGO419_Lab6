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Y PC\Documents\School Coding\ENGO419_Lab6\"/>
    </mc:Choice>
  </mc:AlternateContent>
  <xr:revisionPtr revIDLastSave="0" documentId="13_ncr:1_{7A50205E-2C7F-4FC1-BBB3-69B34D2F75B5}" xr6:coauthVersionLast="47" xr6:coauthVersionMax="47" xr10:uidLastSave="{00000000-0000-0000-0000-000000000000}"/>
  <bookViews>
    <workbookView xWindow="28680" yWindow="-720" windowWidth="29040" windowHeight="1572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</calcChain>
</file>

<file path=xl/sharedStrings.xml><?xml version="1.0" encoding="utf-8"?>
<sst xmlns="http://schemas.openxmlformats.org/spreadsheetml/2006/main" count="156" uniqueCount="27">
  <si>
    <t>obs</t>
  </si>
  <si>
    <t>redundancy</t>
  </si>
  <si>
    <t>MDB</t>
  </si>
  <si>
    <t>global_ERV</t>
  </si>
  <si>
    <t>Most Affected Parameter [mm]</t>
  </si>
  <si>
    <t>Largest ERV Coordinate Change [mm]</t>
  </si>
  <si>
    <t>Second Most Affected Parameter [mm]</t>
  </si>
  <si>
    <t>Second Largest ERV Coordinate Change [mm]</t>
  </si>
  <si>
    <t>Third Most Affected Parameter</t>
  </si>
  <si>
    <t>Third Largest ERV Coordinate Change [mm]</t>
  </si>
  <si>
    <t>X7</t>
  </si>
  <si>
    <t>Y1</t>
  </si>
  <si>
    <t>X1</t>
  </si>
  <si>
    <t>X5</t>
  </si>
  <si>
    <t>Y3</t>
  </si>
  <si>
    <t>X3</t>
  </si>
  <si>
    <t>Y7</t>
  </si>
  <si>
    <t>Y5</t>
  </si>
  <si>
    <t>inf</t>
  </si>
  <si>
    <t>X6</t>
  </si>
  <si>
    <t>Y6</t>
  </si>
  <si>
    <t>Most Affected Parameters</t>
  </si>
  <si>
    <t>Observation</t>
  </si>
  <si>
    <t>Redundancy #</t>
  </si>
  <si>
    <t>3rd Largest Δx̂ [mm]</t>
  </si>
  <si>
    <r>
      <t>2</t>
    </r>
    <r>
      <rPr>
        <vertAlign val="subscript"/>
        <sz val="11"/>
        <color theme="1"/>
        <rFont val="Calibri"/>
        <family val="2"/>
        <scheme val="minor"/>
      </rPr>
      <t xml:space="preserve">nd </t>
    </r>
    <r>
      <rPr>
        <sz val="11"/>
        <color theme="1"/>
        <rFont val="Calibri"/>
        <family val="2"/>
        <scheme val="minor"/>
      </rPr>
      <t>Largest Δx̂ [mm]</t>
    </r>
  </si>
  <si>
    <r>
      <t>1</t>
    </r>
    <r>
      <rPr>
        <vertAlign val="subscript"/>
        <sz val="11"/>
        <color theme="1"/>
        <rFont val="Calibri"/>
        <family val="2"/>
        <scheme val="minor"/>
      </rPr>
      <t>st</t>
    </r>
    <r>
      <rPr>
        <sz val="11"/>
        <color theme="1"/>
        <rFont val="Calibri"/>
        <family val="2"/>
        <scheme val="minor"/>
      </rPr>
      <t xml:space="preserve"> Largest Δx̂ [mm]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</si>
</sst>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8"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D4580E-9B6E-48EF-9862-4C77ACF11258}" name="Table1" displayName="Table1" ref="A1:G25" totalsRowShown="0" dataDxfId="0">
  <autoFilter ref="A1:G25" xr:uid="{D8D4580E-9B6E-48EF-9862-4C77ACF11258}"/>
  <tableColumns count="7">
    <tableColumn id="1" xr3:uid="{66F9B615-185A-4B2B-96BB-9AFC59EFCB26}" name="Observation" dataDxfId="7"/>
    <tableColumn id="2" xr3:uid="{41D01B17-57A8-49D2-BEFD-F64CC6CF6997}" name="Redundancy #" dataDxfId="6"/>
    <tableColumn id="3" xr3:uid="{10D9E50C-906B-4E4C-A8EC-B787277AA05F}" name="MDB" dataDxfId="5"/>
    <tableColumn id="4" xr3:uid="{C098EDEC-4386-40E1-A6C1-3B01C023B90C}" name="Most Affected Parameters" dataDxfId="4">
      <calculatedColumnFormula>_xlfn.TEXTJOIN(", ",TRUE,W2,X2,Y2)</calculatedColumnFormula>
    </tableColumn>
    <tableColumn id="5" xr3:uid="{C99EEF72-24C9-40E5-A8CF-80C280CC8EF0}" name="1st Largest Δx̂ [mm]" dataDxfId="3"/>
    <tableColumn id="6" xr3:uid="{0A084D62-B262-496A-ACB8-7D6749F53C0B}" name="2nd Largest Δx̂ [mm]" dataDxfId="2"/>
    <tableColumn id="7" xr3:uid="{422F8D70-40D2-4EFF-9D76-F8A79A53DE76}" name="3rd Largest Δx̂ [mm]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workbookViewId="0">
      <selection activeCell="J1" sqref="J1:J1048576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>
        <v>1</v>
      </c>
      <c r="B2">
        <v>0.22894582679860401</v>
      </c>
      <c r="C2">
        <v>1.1710285060718599E-2</v>
      </c>
      <c r="D2">
        <v>26.4338143164732</v>
      </c>
      <c r="E2" t="s">
        <v>10</v>
      </c>
      <c r="F2">
        <v>-7.9002067579331303</v>
      </c>
      <c r="G2" t="s">
        <v>11</v>
      </c>
      <c r="H2">
        <v>7.7369559048219196</v>
      </c>
      <c r="I2" t="s">
        <v>12</v>
      </c>
      <c r="J2">
        <v>-6.9689306053600104</v>
      </c>
    </row>
    <row r="3" spans="1:10" x14ac:dyDescent="0.25">
      <c r="A3">
        <v>2</v>
      </c>
      <c r="B3">
        <v>0.24679622722256001</v>
      </c>
      <c r="C3">
        <v>1.12788436079531E-2</v>
      </c>
      <c r="D3">
        <v>23.954198548816901</v>
      </c>
      <c r="E3" t="s">
        <v>12</v>
      </c>
      <c r="F3">
        <v>4.3185822632228303</v>
      </c>
      <c r="G3" t="s">
        <v>10</v>
      </c>
      <c r="H3">
        <v>-3.91218461632615</v>
      </c>
      <c r="I3" t="s">
        <v>13</v>
      </c>
      <c r="J3">
        <v>-3.83427070066565</v>
      </c>
    </row>
    <row r="4" spans="1:10" x14ac:dyDescent="0.25">
      <c r="A4">
        <v>3</v>
      </c>
      <c r="B4">
        <v>0.32045996405504101</v>
      </c>
      <c r="C4">
        <v>9.8979884601263501E-3</v>
      </c>
      <c r="D4">
        <v>16.6436641548495</v>
      </c>
      <c r="E4" t="s">
        <v>12</v>
      </c>
      <c r="F4">
        <v>6.0093101486019904</v>
      </c>
      <c r="G4" t="s">
        <v>13</v>
      </c>
      <c r="H4">
        <v>4.04698521539322</v>
      </c>
      <c r="I4" t="s">
        <v>10</v>
      </c>
      <c r="J4">
        <v>4.02420188222069</v>
      </c>
    </row>
    <row r="5" spans="1:10" x14ac:dyDescent="0.25">
      <c r="A5">
        <v>4</v>
      </c>
      <c r="B5">
        <v>0.30838458928464602</v>
      </c>
      <c r="C5">
        <v>1.00899148076382E-2</v>
      </c>
      <c r="D5">
        <v>17.602715472000199</v>
      </c>
      <c r="E5" t="s">
        <v>10</v>
      </c>
      <c r="F5">
        <v>-8.4188117646621805</v>
      </c>
      <c r="G5" t="s">
        <v>12</v>
      </c>
      <c r="H5">
        <v>-7.5447110185149304</v>
      </c>
      <c r="I5" t="s">
        <v>13</v>
      </c>
      <c r="J5">
        <v>-7.3786262369581603</v>
      </c>
    </row>
    <row r="6" spans="1:10" x14ac:dyDescent="0.25">
      <c r="A6">
        <v>5</v>
      </c>
      <c r="B6">
        <v>8.2837025284264398E-2</v>
      </c>
      <c r="C6">
        <v>1.9468011116799699E-2</v>
      </c>
      <c r="D6">
        <v>86.901984476609599</v>
      </c>
      <c r="E6" t="s">
        <v>14</v>
      </c>
      <c r="F6">
        <v>-18.0977855800522</v>
      </c>
      <c r="G6" t="s">
        <v>15</v>
      </c>
      <c r="H6">
        <v>-1.23814098566921</v>
      </c>
      <c r="I6" t="s">
        <v>12</v>
      </c>
      <c r="J6">
        <v>0</v>
      </c>
    </row>
    <row r="7" spans="1:10" x14ac:dyDescent="0.25">
      <c r="A7">
        <v>6</v>
      </c>
      <c r="B7">
        <v>0.271013750964613</v>
      </c>
      <c r="C7">
        <v>1.07631196797835E-2</v>
      </c>
      <c r="D7">
        <v>21.112306575986601</v>
      </c>
      <c r="E7" t="s">
        <v>15</v>
      </c>
      <c r="F7">
        <v>7.9058178176044196</v>
      </c>
      <c r="G7" t="s">
        <v>14</v>
      </c>
      <c r="H7">
        <v>1.07962632023056</v>
      </c>
      <c r="I7" t="s">
        <v>12</v>
      </c>
      <c r="J7">
        <v>0</v>
      </c>
    </row>
    <row r="8" spans="1:10" x14ac:dyDescent="0.25">
      <c r="A8">
        <v>7</v>
      </c>
      <c r="B8">
        <v>0.42448483889960897</v>
      </c>
      <c r="C8">
        <v>8.6000849524024096E-3</v>
      </c>
      <c r="D8">
        <v>10.641485562785499</v>
      </c>
      <c r="E8" t="s">
        <v>12</v>
      </c>
      <c r="F8">
        <v>4.8115286322206101</v>
      </c>
      <c r="G8" t="s">
        <v>10</v>
      </c>
      <c r="H8">
        <v>4.5022229343803497</v>
      </c>
      <c r="I8" t="s">
        <v>13</v>
      </c>
      <c r="J8">
        <v>3.9080649817881201</v>
      </c>
    </row>
    <row r="9" spans="1:10" x14ac:dyDescent="0.25">
      <c r="A9">
        <v>8</v>
      </c>
      <c r="B9">
        <v>0.209125202907534</v>
      </c>
      <c r="C9">
        <v>1.22526674164461E-2</v>
      </c>
      <c r="D9">
        <v>29.683084970160898</v>
      </c>
      <c r="E9" t="s">
        <v>16</v>
      </c>
      <c r="F9">
        <v>13.1461646444883</v>
      </c>
      <c r="G9" t="s">
        <v>17</v>
      </c>
      <c r="H9">
        <v>11.0411359297196</v>
      </c>
      <c r="I9" t="s">
        <v>10</v>
      </c>
      <c r="J9">
        <v>5.5132046313661096</v>
      </c>
    </row>
    <row r="10" spans="1:10" x14ac:dyDescent="0.25">
      <c r="A10">
        <v>9</v>
      </c>
      <c r="B10">
        <v>0.34234288953438802</v>
      </c>
      <c r="C10">
        <v>9.5764198230980403E-3</v>
      </c>
      <c r="D10">
        <v>15.0780744227072</v>
      </c>
      <c r="E10" t="s">
        <v>10</v>
      </c>
      <c r="F10">
        <v>-6.2027373855163699</v>
      </c>
      <c r="G10" t="s">
        <v>13</v>
      </c>
      <c r="H10">
        <v>-6.1411922098623801</v>
      </c>
      <c r="I10" t="s">
        <v>12</v>
      </c>
      <c r="J10">
        <v>-4.2550516902442199</v>
      </c>
    </row>
    <row r="11" spans="1:10" x14ac:dyDescent="0.25">
      <c r="A11">
        <v>10</v>
      </c>
      <c r="B11">
        <v>-2.1175823681357501E-16</v>
      </c>
      <c r="C11" t="s">
        <v>18</v>
      </c>
    </row>
    <row r="12" spans="1:10" x14ac:dyDescent="0.25">
      <c r="A12">
        <v>11</v>
      </c>
      <c r="B12">
        <v>0.92040542278843496</v>
      </c>
      <c r="C12">
        <v>7.0787915517095903E-5</v>
      </c>
      <c r="D12">
        <v>0.67875334996102199</v>
      </c>
      <c r="E12" t="s">
        <v>12</v>
      </c>
      <c r="F12">
        <v>1.2005365385950599</v>
      </c>
      <c r="G12" t="s">
        <v>10</v>
      </c>
      <c r="H12">
        <v>0.51641603283258597</v>
      </c>
      <c r="I12" t="s">
        <v>13</v>
      </c>
      <c r="J12">
        <v>0.51374735977792796</v>
      </c>
    </row>
    <row r="13" spans="1:10" x14ac:dyDescent="0.25">
      <c r="A13">
        <v>12</v>
      </c>
      <c r="B13">
        <v>0.89912503646167496</v>
      </c>
      <c r="C13">
        <v>7.1620716730929796E-5</v>
      </c>
      <c r="D13">
        <v>0.88058437359831399</v>
      </c>
      <c r="E13" t="s">
        <v>13</v>
      </c>
      <c r="F13">
        <v>1.3430218876708699</v>
      </c>
      <c r="G13" t="s">
        <v>19</v>
      </c>
      <c r="H13">
        <v>1.27600017302152</v>
      </c>
      <c r="I13" t="s">
        <v>12</v>
      </c>
      <c r="J13">
        <v>1.2073405789838301</v>
      </c>
    </row>
    <row r="14" spans="1:10" x14ac:dyDescent="0.25">
      <c r="A14">
        <v>13</v>
      </c>
      <c r="B14">
        <v>0.91929711244270995</v>
      </c>
      <c r="C14">
        <v>7.0830573840421603E-5</v>
      </c>
      <c r="D14">
        <v>0.68903431771776102</v>
      </c>
      <c r="E14" t="s">
        <v>20</v>
      </c>
      <c r="F14">
        <v>-1.0783569225563501</v>
      </c>
      <c r="G14" t="s">
        <v>12</v>
      </c>
      <c r="H14">
        <v>-1.0194506271017001</v>
      </c>
      <c r="I14" t="s">
        <v>10</v>
      </c>
      <c r="J14">
        <v>-0.907624937596897</v>
      </c>
    </row>
    <row r="15" spans="1:10" x14ac:dyDescent="0.25">
      <c r="A15">
        <v>14</v>
      </c>
      <c r="B15">
        <v>0.84730265336604604</v>
      </c>
      <c r="C15">
        <v>7.3778432690240297E-5</v>
      </c>
      <c r="D15">
        <v>1.4144923360299599</v>
      </c>
      <c r="E15" t="s">
        <v>15</v>
      </c>
      <c r="F15">
        <v>-2.0347333304867301</v>
      </c>
      <c r="G15" t="s">
        <v>14</v>
      </c>
      <c r="H15">
        <v>-0.66956666034003098</v>
      </c>
      <c r="I15" t="s">
        <v>12</v>
      </c>
      <c r="J15">
        <v>0</v>
      </c>
    </row>
    <row r="16" spans="1:10" x14ac:dyDescent="0.25">
      <c r="A16">
        <v>15</v>
      </c>
      <c r="B16">
        <v>0.85278579398237098</v>
      </c>
      <c r="C16">
        <v>7.3540864308777195E-5</v>
      </c>
      <c r="D16">
        <v>1.3549318086365201</v>
      </c>
      <c r="E16" t="s">
        <v>15</v>
      </c>
      <c r="F16">
        <v>1.76974292378441</v>
      </c>
      <c r="G16" t="s">
        <v>14</v>
      </c>
      <c r="H16">
        <v>-0.70573749144592701</v>
      </c>
      <c r="I16" t="s">
        <v>12</v>
      </c>
      <c r="J16">
        <v>0</v>
      </c>
    </row>
    <row r="17" spans="1:10" x14ac:dyDescent="0.25">
      <c r="A17">
        <v>16</v>
      </c>
      <c r="B17">
        <v>0.94606077640270603</v>
      </c>
      <c r="C17">
        <v>6.9821502423725096E-5</v>
      </c>
      <c r="D17">
        <v>0.44750029759094201</v>
      </c>
      <c r="E17" t="s">
        <v>14</v>
      </c>
      <c r="F17">
        <v>1.3037005537852</v>
      </c>
      <c r="G17" t="s">
        <v>15</v>
      </c>
      <c r="H17">
        <v>0.245367872245535</v>
      </c>
      <c r="I17" t="s">
        <v>12</v>
      </c>
      <c r="J17">
        <v>0</v>
      </c>
    </row>
    <row r="18" spans="1:10" x14ac:dyDescent="0.25">
      <c r="A18">
        <v>17</v>
      </c>
      <c r="B18">
        <v>0.91627049431711505</v>
      </c>
      <c r="C18">
        <v>7.0947460916628998E-5</v>
      </c>
      <c r="D18">
        <v>0.71723669418303304</v>
      </c>
      <c r="E18" t="s">
        <v>10</v>
      </c>
      <c r="F18">
        <v>1.85145725895194</v>
      </c>
      <c r="G18" t="s">
        <v>16</v>
      </c>
      <c r="H18">
        <v>1.5991060214071</v>
      </c>
      <c r="I18" t="s">
        <v>13</v>
      </c>
      <c r="J18">
        <v>1.3972303298012201</v>
      </c>
    </row>
    <row r="19" spans="1:10" x14ac:dyDescent="0.25">
      <c r="A19">
        <v>18</v>
      </c>
      <c r="B19">
        <v>0.93338803382074098</v>
      </c>
      <c r="C19">
        <v>7.0293892655101705E-5</v>
      </c>
      <c r="D19">
        <v>0.56014143364296298</v>
      </c>
      <c r="E19" t="s">
        <v>13</v>
      </c>
      <c r="F19">
        <v>-0.81340702357009598</v>
      </c>
      <c r="G19" t="s">
        <v>12</v>
      </c>
      <c r="H19">
        <v>-0.70920424728204801</v>
      </c>
      <c r="I19" t="s">
        <v>20</v>
      </c>
      <c r="J19">
        <v>-0.62499847363708205</v>
      </c>
    </row>
    <row r="20" spans="1:10" x14ac:dyDescent="0.25">
      <c r="A20">
        <v>19</v>
      </c>
      <c r="B20">
        <v>0.93967456837225405</v>
      </c>
      <c r="C20">
        <v>7.0058360811540705E-5</v>
      </c>
      <c r="D20">
        <v>0.50388408253835604</v>
      </c>
      <c r="E20" t="s">
        <v>10</v>
      </c>
      <c r="F20">
        <v>-0.87757928525800499</v>
      </c>
      <c r="G20" t="s">
        <v>13</v>
      </c>
      <c r="H20">
        <v>-0.87528048362187805</v>
      </c>
      <c r="I20" t="s">
        <v>16</v>
      </c>
      <c r="J20">
        <v>-0.57644704842202599</v>
      </c>
    </row>
    <row r="21" spans="1:10" x14ac:dyDescent="0.25">
      <c r="A21">
        <v>20</v>
      </c>
      <c r="B21">
        <v>3.5192540055338802E-16</v>
      </c>
      <c r="C21" t="s">
        <v>18</v>
      </c>
    </row>
    <row r="22" spans="1:10" x14ac:dyDescent="0.25">
      <c r="A22">
        <v>21</v>
      </c>
      <c r="B22">
        <v>0.84025283643047499</v>
      </c>
      <c r="C22">
        <v>7.4087290928368294E-5</v>
      </c>
      <c r="D22">
        <v>1.4922130820612201</v>
      </c>
      <c r="E22" t="s">
        <v>12</v>
      </c>
      <c r="F22">
        <v>1.7192315406543801</v>
      </c>
      <c r="G22" t="s">
        <v>10</v>
      </c>
      <c r="H22">
        <v>1.43451068791832</v>
      </c>
      <c r="I22" t="s">
        <v>11</v>
      </c>
      <c r="J22">
        <v>-1.23151988223697</v>
      </c>
    </row>
    <row r="23" spans="1:10" x14ac:dyDescent="0.25">
      <c r="A23">
        <v>22</v>
      </c>
      <c r="B23">
        <v>0.86242944433022295</v>
      </c>
      <c r="C23">
        <v>7.3128542978121499E-5</v>
      </c>
      <c r="D23">
        <v>1.25201516893735</v>
      </c>
      <c r="E23" t="s">
        <v>20</v>
      </c>
      <c r="F23">
        <v>1.4855781848713201</v>
      </c>
      <c r="G23" t="s">
        <v>11</v>
      </c>
      <c r="H23">
        <v>0.56276357181071801</v>
      </c>
      <c r="I23" t="s">
        <v>19</v>
      </c>
      <c r="J23">
        <v>-0.53533949604127395</v>
      </c>
    </row>
    <row r="24" spans="1:10" x14ac:dyDescent="0.25">
      <c r="A24">
        <v>23</v>
      </c>
      <c r="B24">
        <v>0.87030687641168403</v>
      </c>
      <c r="C24">
        <v>7.2796835497922595E-5</v>
      </c>
      <c r="D24">
        <v>1.16963999366959</v>
      </c>
      <c r="E24" t="s">
        <v>16</v>
      </c>
      <c r="F24">
        <v>-2.1325125688170998</v>
      </c>
      <c r="G24" t="s">
        <v>17</v>
      </c>
      <c r="H24">
        <v>-1.7714738840523501</v>
      </c>
      <c r="I24" t="s">
        <v>10</v>
      </c>
      <c r="J24">
        <v>-1.3214674372491799</v>
      </c>
    </row>
    <row r="25" spans="1:10" x14ac:dyDescent="0.25">
      <c r="A25">
        <v>24</v>
      </c>
      <c r="B25">
        <v>0.81831063592230902</v>
      </c>
      <c r="C25">
        <v>7.5074009385747503E-5</v>
      </c>
      <c r="D25">
        <v>1.7426853630576</v>
      </c>
      <c r="E25" t="s">
        <v>20</v>
      </c>
      <c r="F25">
        <v>-1.02877492674189</v>
      </c>
      <c r="G25" t="s">
        <v>12</v>
      </c>
      <c r="H25">
        <v>-0.89631991772255704</v>
      </c>
      <c r="I25" t="s">
        <v>17</v>
      </c>
      <c r="J25">
        <v>0.80753622291364002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8C5AD-C64D-4155-99AA-1AD388416859}">
  <dimension ref="A1:Y25"/>
  <sheetViews>
    <sheetView tabSelected="1" workbookViewId="0">
      <selection sqref="A1:G25"/>
    </sheetView>
  </sheetViews>
  <sheetFormatPr defaultRowHeight="15" x14ac:dyDescent="0.25"/>
  <cols>
    <col min="1" max="1" width="14.140625" bestFit="1" customWidth="1"/>
    <col min="2" max="2" width="15.7109375" bestFit="1" customWidth="1"/>
    <col min="3" max="3" width="7.5703125" bestFit="1" customWidth="1"/>
    <col min="4" max="4" width="27" bestFit="1" customWidth="1"/>
    <col min="5" max="5" width="20.140625" bestFit="1" customWidth="1"/>
    <col min="6" max="6" width="20.42578125" bestFit="1" customWidth="1"/>
    <col min="7" max="7" width="21.140625" bestFit="1" customWidth="1"/>
  </cols>
  <sheetData>
    <row r="1" spans="1:25" ht="18" x14ac:dyDescent="0.35">
      <c r="A1" t="s">
        <v>22</v>
      </c>
      <c r="B1" t="s">
        <v>23</v>
      </c>
      <c r="C1" t="s">
        <v>2</v>
      </c>
      <c r="D1" t="s">
        <v>21</v>
      </c>
      <c r="E1" t="s">
        <v>26</v>
      </c>
      <c r="F1" t="s">
        <v>25</v>
      </c>
      <c r="G1" t="s">
        <v>24</v>
      </c>
      <c r="W1" t="s">
        <v>4</v>
      </c>
      <c r="X1" t="s">
        <v>6</v>
      </c>
      <c r="Y1" t="s">
        <v>8</v>
      </c>
    </row>
    <row r="2" spans="1:25" x14ac:dyDescent="0.25">
      <c r="A2" s="1">
        <v>1</v>
      </c>
      <c r="B2" s="1">
        <v>0.22894582679860401</v>
      </c>
      <c r="C2" s="1">
        <v>1.1710285060718599E-2</v>
      </c>
      <c r="D2" s="1" t="str">
        <f t="shared" ref="D2:D25" si="0">_xlfn.TEXTJOIN(", ",TRUE,W2,X2,Y2)</f>
        <v>X7, Y1, X1</v>
      </c>
      <c r="E2" s="1">
        <v>-7.9002067579331303</v>
      </c>
      <c r="F2" s="1">
        <v>7.7369559048219196</v>
      </c>
      <c r="G2" s="1">
        <v>-6.9689306053600104</v>
      </c>
      <c r="W2" t="s">
        <v>10</v>
      </c>
      <c r="X2" t="s">
        <v>11</v>
      </c>
      <c r="Y2" t="s">
        <v>12</v>
      </c>
    </row>
    <row r="3" spans="1:25" x14ac:dyDescent="0.25">
      <c r="A3" s="1">
        <v>2</v>
      </c>
      <c r="B3" s="1">
        <v>0.24679622722256001</v>
      </c>
      <c r="C3" s="1">
        <v>1.12788436079531E-2</v>
      </c>
      <c r="D3" s="1" t="str">
        <f t="shared" si="0"/>
        <v>X1, X7, X5</v>
      </c>
      <c r="E3" s="1">
        <v>4.3185822632228303</v>
      </c>
      <c r="F3" s="1">
        <v>-3.91218461632615</v>
      </c>
      <c r="G3" s="1">
        <v>-3.83427070066565</v>
      </c>
      <c r="W3" t="s">
        <v>12</v>
      </c>
      <c r="X3" t="s">
        <v>10</v>
      </c>
      <c r="Y3" t="s">
        <v>13</v>
      </c>
    </row>
    <row r="4" spans="1:25" x14ac:dyDescent="0.25">
      <c r="A4" s="1">
        <v>3</v>
      </c>
      <c r="B4" s="1">
        <v>0.32045996405504101</v>
      </c>
      <c r="C4" s="1">
        <v>9.8979884601263501E-3</v>
      </c>
      <c r="D4" s="1" t="str">
        <f t="shared" si="0"/>
        <v>X1, X5, X7</v>
      </c>
      <c r="E4" s="1">
        <v>6.0093101486019904</v>
      </c>
      <c r="F4" s="1">
        <v>4.04698521539322</v>
      </c>
      <c r="G4" s="1">
        <v>4.02420188222069</v>
      </c>
      <c r="W4" t="s">
        <v>12</v>
      </c>
      <c r="X4" t="s">
        <v>13</v>
      </c>
      <c r="Y4" t="s">
        <v>10</v>
      </c>
    </row>
    <row r="5" spans="1:25" x14ac:dyDescent="0.25">
      <c r="A5" s="1">
        <v>4</v>
      </c>
      <c r="B5" s="1">
        <v>0.30838458928464602</v>
      </c>
      <c r="C5" s="1">
        <v>1.00899148076382E-2</v>
      </c>
      <c r="D5" s="1" t="str">
        <f t="shared" si="0"/>
        <v>X7, X1, X5</v>
      </c>
      <c r="E5" s="1">
        <v>-8.4188117646621805</v>
      </c>
      <c r="F5" s="1">
        <v>-7.5447110185149304</v>
      </c>
      <c r="G5" s="1">
        <v>-7.3786262369581603</v>
      </c>
      <c r="W5" t="s">
        <v>10</v>
      </c>
      <c r="X5" t="s">
        <v>12</v>
      </c>
      <c r="Y5" t="s">
        <v>13</v>
      </c>
    </row>
    <row r="6" spans="1:25" x14ac:dyDescent="0.25">
      <c r="A6" s="1">
        <v>5</v>
      </c>
      <c r="B6" s="1">
        <v>8.2837025284264398E-2</v>
      </c>
      <c r="C6" s="1">
        <v>1.9468011116799699E-2</v>
      </c>
      <c r="D6" s="1" t="str">
        <f t="shared" si="0"/>
        <v>Y3, X3, X1</v>
      </c>
      <c r="E6" s="1">
        <v>-18.0977855800522</v>
      </c>
      <c r="F6" s="1">
        <v>-1.23814098566921</v>
      </c>
      <c r="G6" s="1">
        <v>0</v>
      </c>
      <c r="W6" t="s">
        <v>14</v>
      </c>
      <c r="X6" t="s">
        <v>15</v>
      </c>
      <c r="Y6" t="s">
        <v>12</v>
      </c>
    </row>
    <row r="7" spans="1:25" x14ac:dyDescent="0.25">
      <c r="A7" s="1">
        <v>6</v>
      </c>
      <c r="B7" s="1">
        <v>0.271013750964613</v>
      </c>
      <c r="C7" s="1">
        <v>1.07631196797835E-2</v>
      </c>
      <c r="D7" s="1" t="str">
        <f t="shared" si="0"/>
        <v>X3, Y3, X1</v>
      </c>
      <c r="E7" s="1">
        <v>7.9058178176044196</v>
      </c>
      <c r="F7" s="1">
        <v>1.07962632023056</v>
      </c>
      <c r="G7" s="1">
        <v>0</v>
      </c>
      <c r="W7" t="s">
        <v>15</v>
      </c>
      <c r="X7" t="s">
        <v>14</v>
      </c>
      <c r="Y7" t="s">
        <v>12</v>
      </c>
    </row>
    <row r="8" spans="1:25" x14ac:dyDescent="0.25">
      <c r="A8" s="1">
        <v>7</v>
      </c>
      <c r="B8" s="1">
        <v>0.42448483889960897</v>
      </c>
      <c r="C8" s="1">
        <v>8.6000849524024096E-3</v>
      </c>
      <c r="D8" s="1" t="str">
        <f t="shared" si="0"/>
        <v>X1, X7, X5</v>
      </c>
      <c r="E8" s="1">
        <v>4.8115286322206101</v>
      </c>
      <c r="F8" s="1">
        <v>4.5022229343803497</v>
      </c>
      <c r="G8" s="1">
        <v>3.9080649817881201</v>
      </c>
      <c r="W8" t="s">
        <v>12</v>
      </c>
      <c r="X8" t="s">
        <v>10</v>
      </c>
      <c r="Y8" t="s">
        <v>13</v>
      </c>
    </row>
    <row r="9" spans="1:25" x14ac:dyDescent="0.25">
      <c r="A9" s="1">
        <v>8</v>
      </c>
      <c r="B9" s="1">
        <v>0.209125202907534</v>
      </c>
      <c r="C9" s="1">
        <v>1.22526674164461E-2</v>
      </c>
      <c r="D9" s="1" t="str">
        <f t="shared" si="0"/>
        <v>Y7, Y5, X7</v>
      </c>
      <c r="E9" s="1">
        <v>13.1461646444883</v>
      </c>
      <c r="F9" s="1">
        <v>11.0411359297196</v>
      </c>
      <c r="G9" s="1">
        <v>5.5132046313661096</v>
      </c>
      <c r="W9" t="s">
        <v>16</v>
      </c>
      <c r="X9" t="s">
        <v>17</v>
      </c>
      <c r="Y9" t="s">
        <v>10</v>
      </c>
    </row>
    <row r="10" spans="1:25" x14ac:dyDescent="0.25">
      <c r="A10" s="1">
        <v>9</v>
      </c>
      <c r="B10" s="1">
        <v>0.34234288953438802</v>
      </c>
      <c r="C10" s="1">
        <v>9.5764198230980403E-3</v>
      </c>
      <c r="D10" s="1" t="str">
        <f t="shared" si="0"/>
        <v>X7, X5, X1</v>
      </c>
      <c r="E10" s="1">
        <v>-6.2027373855163699</v>
      </c>
      <c r="F10" s="1">
        <v>-6.1411922098623801</v>
      </c>
      <c r="G10" s="1">
        <v>-4.2550516902442199</v>
      </c>
      <c r="W10" t="s">
        <v>10</v>
      </c>
      <c r="X10" t="s">
        <v>13</v>
      </c>
      <c r="Y10" t="s">
        <v>12</v>
      </c>
    </row>
    <row r="11" spans="1:25" x14ac:dyDescent="0.25">
      <c r="A11" s="1">
        <v>10</v>
      </c>
      <c r="B11" s="1">
        <v>-2.1175823681357501E-16</v>
      </c>
      <c r="C11" s="1" t="s">
        <v>18</v>
      </c>
      <c r="D11" s="1" t="str">
        <f t="shared" si="0"/>
        <v/>
      </c>
      <c r="E11" s="1"/>
      <c r="F11" s="1"/>
      <c r="G11" s="1"/>
    </row>
    <row r="12" spans="1:25" x14ac:dyDescent="0.25">
      <c r="A12" s="1">
        <v>11</v>
      </c>
      <c r="B12" s="1">
        <v>0.92040542278843496</v>
      </c>
      <c r="C12" s="1">
        <v>7.0787915517095903E-5</v>
      </c>
      <c r="D12" s="1" t="str">
        <f t="shared" si="0"/>
        <v>X1, X7, X5</v>
      </c>
      <c r="E12" s="1">
        <v>1.2005365385950599</v>
      </c>
      <c r="F12" s="1">
        <v>0.51641603283258597</v>
      </c>
      <c r="G12" s="1">
        <v>0.51374735977792796</v>
      </c>
      <c r="W12" t="s">
        <v>12</v>
      </c>
      <c r="X12" t="s">
        <v>10</v>
      </c>
      <c r="Y12" t="s">
        <v>13</v>
      </c>
    </row>
    <row r="13" spans="1:25" x14ac:dyDescent="0.25">
      <c r="A13" s="1">
        <v>12</v>
      </c>
      <c r="B13" s="1">
        <v>0.89912503646167496</v>
      </c>
      <c r="C13" s="1">
        <v>7.1620716730929796E-5</v>
      </c>
      <c r="D13" s="1" t="str">
        <f t="shared" si="0"/>
        <v>X5, X6, X1</v>
      </c>
      <c r="E13" s="1">
        <v>1.3430218876708699</v>
      </c>
      <c r="F13" s="1">
        <v>1.27600017302152</v>
      </c>
      <c r="G13" s="1">
        <v>1.2073405789838301</v>
      </c>
      <c r="W13" t="s">
        <v>13</v>
      </c>
      <c r="X13" t="s">
        <v>19</v>
      </c>
      <c r="Y13" t="s">
        <v>12</v>
      </c>
    </row>
    <row r="14" spans="1:25" x14ac:dyDescent="0.25">
      <c r="A14" s="1">
        <v>13</v>
      </c>
      <c r="B14" s="1">
        <v>0.91929711244270995</v>
      </c>
      <c r="C14" s="1">
        <v>7.0830573840421603E-5</v>
      </c>
      <c r="D14" s="1" t="str">
        <f t="shared" si="0"/>
        <v>Y6, X1, X7</v>
      </c>
      <c r="E14" s="1">
        <v>-1.0783569225563501</v>
      </c>
      <c r="F14" s="1">
        <v>-1.0194506271017001</v>
      </c>
      <c r="G14" s="1">
        <v>-0.907624937596897</v>
      </c>
      <c r="W14" t="s">
        <v>20</v>
      </c>
      <c r="X14" t="s">
        <v>12</v>
      </c>
      <c r="Y14" t="s">
        <v>10</v>
      </c>
    </row>
    <row r="15" spans="1:25" x14ac:dyDescent="0.25">
      <c r="A15" s="1">
        <v>14</v>
      </c>
      <c r="B15" s="1">
        <v>0.84730265336604604</v>
      </c>
      <c r="C15" s="1">
        <v>7.3778432690240297E-5</v>
      </c>
      <c r="D15" s="1" t="str">
        <f t="shared" si="0"/>
        <v>X3, Y3, X1</v>
      </c>
      <c r="E15" s="1">
        <v>-2.0347333304867301</v>
      </c>
      <c r="F15" s="1">
        <v>-0.66956666034003098</v>
      </c>
      <c r="G15" s="1">
        <v>0</v>
      </c>
      <c r="W15" t="s">
        <v>15</v>
      </c>
      <c r="X15" t="s">
        <v>14</v>
      </c>
      <c r="Y15" t="s">
        <v>12</v>
      </c>
    </row>
    <row r="16" spans="1:25" x14ac:dyDescent="0.25">
      <c r="A16" s="1">
        <v>15</v>
      </c>
      <c r="B16" s="1">
        <v>0.85278579398237098</v>
      </c>
      <c r="C16" s="1">
        <v>7.3540864308777195E-5</v>
      </c>
      <c r="D16" s="1" t="str">
        <f t="shared" si="0"/>
        <v>X3, Y3, X1</v>
      </c>
      <c r="E16" s="1">
        <v>1.76974292378441</v>
      </c>
      <c r="F16" s="1">
        <v>-0.70573749144592701</v>
      </c>
      <c r="G16" s="1">
        <v>0</v>
      </c>
      <c r="W16" t="s">
        <v>15</v>
      </c>
      <c r="X16" t="s">
        <v>14</v>
      </c>
      <c r="Y16" t="s">
        <v>12</v>
      </c>
    </row>
    <row r="17" spans="1:25" x14ac:dyDescent="0.25">
      <c r="A17" s="1">
        <v>16</v>
      </c>
      <c r="B17" s="1">
        <v>0.94606077640270603</v>
      </c>
      <c r="C17" s="1">
        <v>6.9821502423725096E-5</v>
      </c>
      <c r="D17" s="1" t="str">
        <f t="shared" si="0"/>
        <v>Y3, X3, X1</v>
      </c>
      <c r="E17" s="1">
        <v>1.3037005537852</v>
      </c>
      <c r="F17" s="1">
        <v>0.245367872245535</v>
      </c>
      <c r="G17" s="1">
        <v>0</v>
      </c>
      <c r="W17" t="s">
        <v>14</v>
      </c>
      <c r="X17" t="s">
        <v>15</v>
      </c>
      <c r="Y17" t="s">
        <v>12</v>
      </c>
    </row>
    <row r="18" spans="1:25" x14ac:dyDescent="0.25">
      <c r="A18" s="1">
        <v>17</v>
      </c>
      <c r="B18" s="1">
        <v>0.91627049431711505</v>
      </c>
      <c r="C18" s="1">
        <v>7.0947460916628998E-5</v>
      </c>
      <c r="D18" s="1" t="str">
        <f t="shared" si="0"/>
        <v>X7, Y7, X5</v>
      </c>
      <c r="E18" s="1">
        <v>1.85145725895194</v>
      </c>
      <c r="F18" s="1">
        <v>1.5991060214071</v>
      </c>
      <c r="G18" s="1">
        <v>1.3972303298012201</v>
      </c>
      <c r="W18" t="s">
        <v>10</v>
      </c>
      <c r="X18" t="s">
        <v>16</v>
      </c>
      <c r="Y18" t="s">
        <v>13</v>
      </c>
    </row>
    <row r="19" spans="1:25" x14ac:dyDescent="0.25">
      <c r="A19" s="1">
        <v>18</v>
      </c>
      <c r="B19" s="1">
        <v>0.93338803382074098</v>
      </c>
      <c r="C19" s="1">
        <v>7.0293892655101705E-5</v>
      </c>
      <c r="D19" s="1" t="str">
        <f t="shared" si="0"/>
        <v>X5, X1, Y6</v>
      </c>
      <c r="E19" s="1">
        <v>-0.81340702357009598</v>
      </c>
      <c r="F19" s="1">
        <v>-0.70920424728204801</v>
      </c>
      <c r="G19" s="1">
        <v>-0.62499847363708205</v>
      </c>
      <c r="W19" t="s">
        <v>13</v>
      </c>
      <c r="X19" t="s">
        <v>12</v>
      </c>
      <c r="Y19" t="s">
        <v>20</v>
      </c>
    </row>
    <row r="20" spans="1:25" x14ac:dyDescent="0.25">
      <c r="A20" s="1">
        <v>19</v>
      </c>
      <c r="B20" s="1">
        <v>0.93967456837225405</v>
      </c>
      <c r="C20" s="1">
        <v>7.0058360811540705E-5</v>
      </c>
      <c r="D20" s="1" t="str">
        <f t="shared" si="0"/>
        <v>X7, X5, Y7</v>
      </c>
      <c r="E20" s="1">
        <v>-0.87757928525800499</v>
      </c>
      <c r="F20" s="1">
        <v>-0.87528048362187805</v>
      </c>
      <c r="G20" s="1">
        <v>-0.57644704842202599</v>
      </c>
      <c r="W20" t="s">
        <v>10</v>
      </c>
      <c r="X20" t="s">
        <v>13</v>
      </c>
      <c r="Y20" t="s">
        <v>16</v>
      </c>
    </row>
    <row r="21" spans="1:25" x14ac:dyDescent="0.25">
      <c r="A21" s="1">
        <v>20</v>
      </c>
      <c r="B21" s="1">
        <v>3.5192540055338802E-16</v>
      </c>
      <c r="C21" s="1" t="s">
        <v>18</v>
      </c>
      <c r="D21" s="1" t="str">
        <f t="shared" si="0"/>
        <v/>
      </c>
      <c r="E21" s="1"/>
      <c r="F21" s="1"/>
      <c r="G21" s="1"/>
    </row>
    <row r="22" spans="1:25" x14ac:dyDescent="0.25">
      <c r="A22" s="1">
        <v>21</v>
      </c>
      <c r="B22" s="1">
        <v>0.84025283643047499</v>
      </c>
      <c r="C22" s="1">
        <v>7.4087290928368294E-5</v>
      </c>
      <c r="D22" s="1" t="str">
        <f t="shared" si="0"/>
        <v>X1, X7, Y1</v>
      </c>
      <c r="E22" s="1">
        <v>1.7192315406543801</v>
      </c>
      <c r="F22" s="1">
        <v>1.43451068791832</v>
      </c>
      <c r="G22" s="1">
        <v>-1.23151988223697</v>
      </c>
      <c r="W22" t="s">
        <v>12</v>
      </c>
      <c r="X22" t="s">
        <v>10</v>
      </c>
      <c r="Y22" t="s">
        <v>11</v>
      </c>
    </row>
    <row r="23" spans="1:25" x14ac:dyDescent="0.25">
      <c r="A23" s="1">
        <v>22</v>
      </c>
      <c r="B23" s="1">
        <v>0.86242944433022295</v>
      </c>
      <c r="C23" s="1">
        <v>7.3128542978121499E-5</v>
      </c>
      <c r="D23" s="1" t="str">
        <f t="shared" si="0"/>
        <v>Y6, Y1, X6</v>
      </c>
      <c r="E23" s="1">
        <v>1.4855781848713201</v>
      </c>
      <c r="F23" s="1">
        <v>0.56276357181071801</v>
      </c>
      <c r="G23" s="1">
        <v>-0.53533949604127395</v>
      </c>
      <c r="W23" t="s">
        <v>20</v>
      </c>
      <c r="X23" t="s">
        <v>11</v>
      </c>
      <c r="Y23" t="s">
        <v>19</v>
      </c>
    </row>
    <row r="24" spans="1:25" x14ac:dyDescent="0.25">
      <c r="A24" s="1">
        <v>23</v>
      </c>
      <c r="B24" s="1">
        <v>0.87030687641168403</v>
      </c>
      <c r="C24" s="1">
        <v>7.2796835497922595E-5</v>
      </c>
      <c r="D24" s="1" t="str">
        <f t="shared" si="0"/>
        <v>Y7, Y5, X7</v>
      </c>
      <c r="E24" s="1">
        <v>-2.1325125688170998</v>
      </c>
      <c r="F24" s="1">
        <v>-1.7714738840523501</v>
      </c>
      <c r="G24" s="1">
        <v>-1.3214674372491799</v>
      </c>
      <c r="W24" t="s">
        <v>16</v>
      </c>
      <c r="X24" t="s">
        <v>17</v>
      </c>
      <c r="Y24" t="s">
        <v>10</v>
      </c>
    </row>
    <row r="25" spans="1:25" x14ac:dyDescent="0.25">
      <c r="A25" s="1">
        <v>24</v>
      </c>
      <c r="B25" s="1">
        <v>0.81831063592230902</v>
      </c>
      <c r="C25" s="1">
        <v>7.5074009385747503E-5</v>
      </c>
      <c r="D25" s="1" t="str">
        <f t="shared" si="0"/>
        <v>Y6, X1, Y5</v>
      </c>
      <c r="E25" s="1">
        <v>-1.02877492674189</v>
      </c>
      <c r="F25" s="1">
        <v>-0.89631991772255704</v>
      </c>
      <c r="G25" s="1">
        <v>0.80753622291364002</v>
      </c>
      <c r="W25" t="s">
        <v>20</v>
      </c>
      <c r="X25" t="s">
        <v>12</v>
      </c>
      <c r="Y25" t="s">
        <v>17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Josh Marcus YUMUL</cp:lastModifiedBy>
  <dcterms:created xsi:type="dcterms:W3CDTF">2026-10-23T04:41:38Z</dcterms:created>
  <dcterms:modified xsi:type="dcterms:W3CDTF">2026-10-23T04:58:13Z</dcterms:modified>
</cp:coreProperties>
</file>